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2c28720b6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30bcc6ba784a0d"/>
    <x:sheet xmlns:r="http://schemas.openxmlformats.org/officeDocument/2006/relationships" name="Leads_CRM" sheetId="2" r:id="Rf59a0cf607a84b27"/>
    <x:sheet xmlns:r="http://schemas.openxmlformats.org/officeDocument/2006/relationships" name="Llistes" sheetId="3" r:id="R20c1ee01ad0e419f"/>
    <x:sheet xmlns:r="http://schemas.openxmlformats.org/officeDocument/2006/relationships" name="Guia" sheetId="4" r:id="Rafd1aa32b128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30"/>
      <x:color rgb="FF0B3D35"/>
      <x:name val="Georgia"/>
    </x:font>
    <x:font>
      <x:sz val="12"/>
      <x:color rgb="FF5F6F6C"/>
      <x:name val="Aptos"/>
    </x:font>
    <x:font>
      <x:b/>
      <x:sz val="11"/>
      <x:color rgb="FF0B3D35"/>
      <x:name val="Aptos"/>
    </x:font>
    <x:font>
      <x:b/>
      <x:sz val="22"/>
      <x:color rgb="FF0B3D35"/>
      <x:name val="Georgia"/>
    </x:font>
    <x:font>
      <x:b/>
      <x:sz val="18"/>
      <x:color rgb="FF0B3D35"/>
      <x:name val="Georgia"/>
    </x:font>
    <x:font>
      <x:sz val="11"/>
      <x:color rgb="FF263B38"/>
      <x:name val="Aptos"/>
    </x:font>
    <x:font>
      <x:b/>
      <x:sz val="11"/>
      <x:color rgb="FF24897C"/>
      <x:name val="Aptos"/>
    </x:font>
    <x:font>
      <x:b/>
      <x:sz val="10"/>
      <x:color rgb="FFF8F5EC"/>
      <x:name val="Aptos"/>
    </x:font>
    <x:font>
      <x:sz val="10"/>
      <x:color rgb="FF263B38"/>
      <x:name val="Aptos"/>
    </x:font>
    <x:font>
      <x:b/>
      <x:sz val="11"/>
      <x:color rgb="FFF8F5EC"/>
      <x:name val="Carlito"/>
    </x:font>
    <x:font>
      <x:sz val="11"/>
      <x:color rgb="FF263B38"/>
      <x:name val="Carlito"/>
    </x:font>
    <x:font>
      <x:b/>
      <x:sz val="26"/>
      <x:color rgb="FF0B3D35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FBF8F0"/>
      </x:patternFill>
    </x:fill>
    <x:fill>
      <x:patternFill patternType="solid">
        <x:fgColor rgb="FFDCEFE9"/>
      </x:patternFill>
    </x:fill>
    <x:fill>
      <x:patternFill patternType="solid">
        <x:fgColor rgb="FFFFFFFF"/>
      </x:patternFill>
    </x:fill>
    <x:fill>
      <x:patternFill patternType="solid">
        <x:fgColor rgb="FF0B3D35"/>
      </x:patternFill>
    </x:fill>
  </x:fills>
  <x:borders count="18">
    <x:border/>
    <x:border>
      <x:left style="thin">
        <x:color rgb="FFD8DED7"/>
      </x:left>
      <x:top style="thin">
        <x:color rgb="FFD8DED7"/>
      </x:top>
      <x:bottom style="thin">
        <x:color rgb="FFD8DED7"/>
      </x:bottom>
    </x:border>
    <x:border>
      <x:top style="thin">
        <x:color rgb="FFD8DED7"/>
      </x:top>
      <x:bottom style="thin">
        <x:color rgb="FFD8DED7"/>
      </x:bottom>
    </x:border>
    <x:border>
      <x:right style="thin">
        <x:color rgb="FFD8DED7"/>
      </x:right>
      <x:top style="thin">
        <x:color rgb="FFD8DED7"/>
      </x:top>
      <x:bottom style="thin">
        <x:color rgb="FFD8DED7"/>
      </x:bottom>
    </x:border>
    <x:border>
      <x:left style="thin">
        <x:color rgb="FFD8DED7"/>
      </x:left>
      <x:top style="thin">
        <x:color rgb="FFD8DED7"/>
      </x:top>
    </x:border>
    <x:border>
      <x:top style="thin">
        <x:color rgb="FFD8DED7"/>
      </x:top>
    </x:border>
    <x:border>
      <x:right style="thin">
        <x:color rgb="FFD8DED7"/>
      </x:right>
      <x:top style="thin">
        <x:color rgb="FFD8DED7"/>
      </x:top>
    </x:border>
    <x:border>
      <x:left style="thin">
        <x:color rgb="FFD8DED7"/>
      </x:left>
    </x:border>
    <x:border>
      <x:right style="thin">
        <x:color rgb="FFD8DED7"/>
      </x:right>
    </x:border>
    <x:border>
      <x:left style="thin">
        <x:color rgb="FFD8DED7"/>
      </x:left>
      <x:bottom style="thin">
        <x:color rgb="FFD8DED7"/>
      </x:bottom>
    </x:border>
    <x:border>
      <x:bottom style="thin">
        <x:color rgb="FFD8DED7"/>
      </x:bottom>
    </x:border>
    <x:border>
      <x:right style="thin">
        <x:color rgb="FFD8DED7"/>
      </x:right>
      <x:bottom style="thin">
        <x:color rgb="FFD8DED7"/>
      </x:bottom>
    </x:border>
    <x:border>
      <x:left style="thin">
        <x:color rgb="FF0B3D35"/>
      </x:left>
      <x:top style="thin">
        <x:color rgb="FF0B3D35"/>
      </x:top>
      <x:bottom style="thin">
        <x:color rgb="FF0B3D35"/>
      </x:bottom>
    </x:border>
    <x:border>
      <x:top style="thin">
        <x:color rgb="FF0B3D35"/>
      </x:top>
      <x:bottom style="thin">
        <x:color rgb="FF0B3D35"/>
      </x:bottom>
    </x:border>
    <x:border>
      <x:right style="thin">
        <x:color rgb="FF0B3D35"/>
      </x:right>
      <x:top style="thin">
        <x:color rgb="FF0B3D35"/>
      </x:top>
      <x:bottom style="thin">
        <x:color rgb="FF0B3D35"/>
      </x:bottom>
    </x:border>
    <x:border>
      <x:left style="thin">
        <x:color rgb="FFD8DED7"/>
      </x:left>
      <x:right style="thin">
        <x:color rgb="FFD8DED7"/>
      </x:right>
      <x:top style="thin">
        <x:color rgb="FFD8DED7"/>
      </x:top>
    </x:border>
    <x:border>
      <x:left style="thin">
        <x:color rgb="FFD8DED7"/>
      </x:left>
      <x:right style="thin">
        <x:color rgb="FFD8DED7"/>
      </x:right>
    </x:border>
    <x:border>
      <x:left style="thin">
        <x:color rgb="FFD8DED7"/>
      </x:left>
      <x:right style="thin">
        <x:color rgb="FFD8DED7"/>
      </x:right>
      <x:bottom style="thin">
        <x:color rgb="FFD8DED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horizontal="center" wrapText="1"/>
    </x:xf>
    <x:xf numFmtId="0" fontId="8" fillId="5" borderId="13" xfId="0" applyNumberFormat="1" applyFont="1" applyFill="1" applyBorder="1" applyAlignment="1">
      <x:alignment horizontal="center" wrapText="1"/>
    </x:xf>
    <x:xf numFmtId="0" fontId="8" fillId="5" borderId="14" xfId="0" applyNumberFormat="1" applyFont="1" applyFill="1" applyBorder="1" applyAlignment="1">
      <x:alignment horizontal="center" wrapText="1"/>
    </x:xf>
    <x:xf numFmtId="0" fontId="8" fillId="5" borderId="12" xfId="0" applyNumberFormat="1" applyFont="1" applyFill="1" applyBorder="1" applyAlignment="1">
      <x:alignment horizontal="center" vertical="center" wrapText="1"/>
    </x:xf>
    <x:xf numFmtId="0" fontId="8" fillId="5" borderId="13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7" xfId="0" applyNumberFormat="1" applyFont="1" applyFill="1" applyBorder="1"/>
    <x:xf numFmtId="0" fontId="9" fillId="4" borderId="8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4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9" fillId="4" borderId="7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15" xfId="0" applyNumberFormat="1" applyFont="1" applyFill="1" applyBorder="1"/>
    <x:xf numFmtId="0" fontId="11" fillId="4" borderId="16" xfId="0" applyNumberFormat="1" applyFont="1" applyFill="1" applyBorder="1"/>
    <x:xf numFmtId="0" fontId="11" fillId="4" borderId="17" xfId="0" applyNumberFormat="1" applyFont="1" applyFill="1" applyBorder="1"/>
    <x:xf numFmtId="0" fontId="12" fillId="2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1" fillId="4" borderId="4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1" fillId="4" borderId="4" xfId="0" applyNumberFormat="1" applyFont="1" applyFill="1" applyBorder="1" applyAlignment="1">
      <x:alignment wrapText="1"/>
    </x:xf>
    <x:xf numFmtId="0" fontId="11" fillId="4" borderId="5" xfId="0" applyNumberFormat="1" applyFont="1" applyFill="1" applyBorder="1" applyAlignment="1">
      <x:alignment wrapText="1"/>
    </x:xf>
    <x:xf numFmtId="0" fontId="11" fillId="4" borderId="6" xfId="0" applyNumberFormat="1" applyFont="1" applyFill="1" applyBorder="1" applyAlignment="1">
      <x:alignment wrapText="1"/>
    </x:xf>
    <x:xf numFmtId="0" fontId="11" fillId="4" borderId="7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8" xfId="0" applyNumberFormat="1" applyFont="1" applyFill="1" applyBorder="1" applyAlignment="1">
      <x:alignment wrapText="1"/>
    </x:xf>
    <x:xf numFmtId="0" fontId="11" fillId="4" borderId="9" xfId="0" applyNumberFormat="1" applyFont="1" applyFill="1" applyBorder="1" applyAlignment="1">
      <x:alignment wrapText="1"/>
    </x:xf>
    <x:xf numFmtId="0" fontId="11" fillId="4" borderId="10" xfId="0" applyNumberFormat="1" applyFont="1" applyFill="1" applyBorder="1" applyAlignment="1">
      <x:alignment wrapText="1"/>
    </x:xf>
    <x:xf numFmtId="0" fontId="11" fillId="4" borderId="11" xfId="0" applyNumberFormat="1" applyFont="1" applyFill="1" applyBorder="1" applyAlignment="1">
      <x:alignment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  <x:xf numFmtId="0" fontId="11" fillId="4" borderId="7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8" xfId="0" applyNumberFormat="1" applyFont="1" applyFill="1" applyBorder="1" applyAlignment="1">
      <x:alignment vertical="top" wrapText="1"/>
    </x:xf>
    <x:xf numFmtId="0" fontId="11" fillId="4" borderId="9" xfId="0" applyNumberFormat="1" applyFont="1" applyFill="1" applyBorder="1" applyAlignment="1">
      <x:alignment vertical="top" wrapText="1"/>
    </x:xf>
    <x:xf numFmtId="0" fontId="11" fillId="4" borderId="10" xfId="0" applyNumberFormat="1" applyFont="1" applyFill="1" applyBorder="1" applyAlignment="1">
      <x:alignment vertical="top" wrapText="1"/>
    </x:xf>
    <x:xf numFmtId="0" fontId="11" fillId="4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B3D35"/>
      </x:font>
      <x:fill>
        <x:patternFill patternType="solid">
          <x:bgColor rgb="FFDCEFE9"/>
        </x:patternFill>
      </x:fill>
    </x:dxf>
    <x:dxf>
      <x:font>
        <x:b/>
        <x:color rgb="FF0B3D35"/>
      </x:font>
      <x:fill>
        <x:patternFill patternType="solid">
          <x:bgColor rgb="FFDCEFE9"/>
        </x:patternFill>
      </x:fill>
    </x:dxf>
    <x:dxf>
      <x:font>
        <x:b/>
        <x:color rgb="FF6A4A00"/>
      </x:font>
      <x:fill>
        <x:patternFill patternType="solid">
          <x:bgColor rgb="FFFFF1C2"/>
        </x:patternFill>
      </x:fill>
    </x:dxf>
    <x:dxf>
      <x:font>
        <x:b/>
        <x:color rgb="FF7A211A"/>
      </x:font>
      <x:fill>
        <x:patternFill patternType="solid">
          <x:bgColor rgb="FFF1D8D1"/>
        </x:patternFill>
      </x:fill>
    </x:dxf>
    <x:dxf>
      <x:font>
        <x:b/>
        <x:color rgb="FF0B3D35"/>
      </x:font>
      <x:fill>
        <x:patternFill patternType="solid">
          <x:bgColor rgb="FFDCEFE9"/>
        </x:patternFill>
      </x:fill>
    </x:dxf>
    <x:dxf>
      <x:font>
        <x:color rgb="FF7D6D5B"/>
      </x:font>
      <x:fill>
        <x:patternFill patternType="solid">
          <x:bgColor rgb="FFEDE5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fe4830a33435b" /><Relationship Type="http://schemas.openxmlformats.org/officeDocument/2006/relationships/theme" Target="/xl/theme/theme1.xml" Id="R9f63df5acedb427d" /><Relationship Type="http://schemas.openxmlformats.org/officeDocument/2006/relationships/sharedStrings" Target="/xl/sharedStrings.xml" Id="Rae1fc974c7f04b99" /><Relationship Type="http://schemas.openxmlformats.org/officeDocument/2006/relationships/worksheet" Target="/xl/worksheets/sheet1.xml" Id="Red30bcc6ba784a0d" /><Relationship Type="http://schemas.openxmlformats.org/officeDocument/2006/relationships/worksheet" Target="/xl/worksheets/sheet2.xml" Id="Rf59a0cf607a84b27" /><Relationship Type="http://schemas.openxmlformats.org/officeDocument/2006/relationships/worksheet" Target="/xl/worksheets/sheet3.xml" Id="R20c1ee01ad0e419f" /><Relationship Type="http://schemas.openxmlformats.org/officeDocument/2006/relationships/worksheet" Target="/xl/worksheets/sheet4.xml" Id="Rafd1aa32b128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0" hidden="0" customWidth="1"/>
    <x:col min="3" max="3" width="23.75" hidden="0" customWidth="1"/>
    <x:col min="4" max="4" width="21.25" hidden="0" customWidth="1"/>
    <x:col min="5" max="5" width="20" hidden="0" customWidth="1"/>
    <x:col min="6" max="6" width="18.75" hidden="0" customWidth="1"/>
    <x:col min="7" max="7" width="21.25" hidden="0" customWidth="1"/>
  </x:cols>
  <x:sheetData>
    <x:row r="1" ht="42" customHeight="1">
      <x:c r="A1" s="2" t="str">
        <x:v>Noesis Lead Engine</x:v>
      </x:c>
      <x:c r="B1" s="1"/>
      <x:c r="C1" s="1"/>
      <x:c r="D1" s="1"/>
      <x:c r="E1" s="1"/>
      <x:c r="F1" s="1"/>
      <x:c r="G1" s="1"/>
    </x:row>
    <x:row r="2" ht="21" customHeight="1">
      <x:c r="A2" s="3" t="str">
        <x:v>CRM inicial per trobar, prioritzar i contactar empreses amb criteri.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22.5" customHeight="1">
      <x:c r="A4" s="9" t="str">
        <x:v>Total leads</x:v>
      </x:c>
      <x:c r="B4" s="10" t="str">
        <x:v>Validats</x:v>
      </x:c>
      <x:c r="C4" s="10" t="str">
        <x:v>Esborranys / contactats</x:v>
      </x:c>
      <x:c r="D4" s="10" t="str">
        <x:v>Interes o reunio</x:v>
      </x:c>
      <x:c r="E4" s="10" t="str">
        <x:v>Seguiment futur</x:v>
      </x:c>
      <x:c r="F4" s="11" t="str">
        <x:v>Descartats</x:v>
      </x:c>
      <x:c r="G4" s="1"/>
    </x:row>
    <x:row r="5" ht="31.5" customHeight="1">
      <x:c r="A5" s="17" t="n">
        <x:f>COUNTA(Leads_CRM!B2:B500)</x:f>
        <x:v>1</x:v>
      </x:c>
      <x:c r="B5" s="18" t="n">
        <x:f>COUNTIF(Leads_CRM!L2:L500,"Validat")</x:f>
        <x:v>0</x:v>
      </x:c>
      <x:c r="C5" s="18" t="n">
        <x:f>COUNTIF(Leads_CRM!L2:L500,"Esborrany creat")+COUNTIF(Leads_CRM!L2:L500,"Contactat")</x:f>
        <x:v>0</x:v>
      </x:c>
      <x:c r="D5" s="18" t="n">
        <x:f>COUNTIF(Leads_CRM!L2:L500,"Interessat")+COUNTIF(Leads_CRM!L2:L500,"Reunio agendada")+COUNTIF(Leads_CRM!L2:L500,"Client")</x:f>
        <x:v>0</x:v>
      </x:c>
      <x:c r="E5" s="18" t="n">
        <x:f>COUNTIF(Leads_CRM!L2:L500,"Seguiment futur")</x:f>
        <x:v>0</x:v>
      </x:c>
      <x:c r="F5" s="19" t="n">
        <x:f>COUNTIF(Leads_CRM!L2:L500,"No interessat")+COUNTIF(Leads_CRM!L2:L500,"Descartat")</x:f>
        <x:v>0</x:v>
      </x:c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3" customHeight="1">
      <x:c r="A8" s="20" t="str">
        <x:v>Flux de captacio</x:v>
      </x:c>
      <x:c r="B8" s="1"/>
      <x:c r="C8" s="1"/>
      <x:c r="D8" s="1"/>
      <x:c r="E8" s="20" t="str">
        <x:v>Criteri CEO</x:v>
      </x:c>
      <x:c r="F8" s="1"/>
      <x:c r="G8" s="1"/>
    </x:row>
    <x:row r="9" ht="40.5" customHeight="1">
      <x:c r="A9" s="48" t="str">
        <x:v>01</x:v>
      </x:c>
      <x:c r="B9" s="40" t="str">
        <x:v>Recerca</x:v>
      </x:c>
      <x:c r="C9" s="41" t="str">
        <x:v>Trobar empreses amb context suficient, no llistes massives.</x:v>
      </x:c>
      <x:c r="D9" s="1"/>
      <x:c r="E9" s="39" t="str">
        <x:v>Noesis no ha de semblar una eina massiva d email. Ha de semblar una empresa que observa processos, detecta oportunitats i proposa millores concretes. El CRM esta pensat per obligar-nos a validar qualitat abans de contactar.</x:v>
      </x:c>
      <x:c r="F9" s="40"/>
      <x:c r="G9" s="41"/>
    </x:row>
    <x:row r="10" ht="40.5" customHeight="1">
      <x:c r="A10" s="49" t="str">
        <x:v>02</x:v>
      </x:c>
      <x:c r="B10" s="43" t="str">
        <x:v>Enriquiment</x:v>
      </x:c>
      <x:c r="C10" s="44" t="str">
        <x:v>Entendre sector, friccio operativa i sistema Noesis probable.</x:v>
      </x:c>
      <x:c r="D10" s="1"/>
      <x:c r="E10" s="42"/>
      <x:c r="F10" s="43"/>
      <x:c r="G10" s="44"/>
    </x:row>
    <x:row r="11" ht="40.5" customHeight="1">
      <x:c r="A11" s="49" t="str">
        <x:v>03</x:v>
      </x:c>
      <x:c r="B11" s="43" t="str">
        <x:v>Validacio</x:v>
      </x:c>
      <x:c r="C11" s="44" t="str">
        <x:v>Miquel o el soci decideixen si el contacte te sentit.</x:v>
      </x:c>
      <x:c r="D11" s="1"/>
      <x:c r="E11" s="42"/>
      <x:c r="F11" s="43"/>
      <x:c r="G11" s="44"/>
    </x:row>
    <x:row r="12" ht="40.5" customHeight="1">
      <x:c r="A12" s="49" t="str">
        <x:v>04</x:v>
      </x:c>
      <x:c r="B12" s="43" t="str">
        <x:v>Esborrany</x:v>
      </x:c>
      <x:c r="C12" s="44" t="str">
        <x:v>Gmail prepara el correu, pero l envio final es huma.</x:v>
      </x:c>
      <x:c r="D12" s="1"/>
      <x:c r="E12" s="42"/>
      <x:c r="F12" s="43"/>
      <x:c r="G12" s="44"/>
    </x:row>
    <x:row r="13" ht="40.5" customHeight="1">
      <x:c r="A13" s="50" t="str">
        <x:v>05</x:v>
      </x:c>
      <x:c r="B13" s="46" t="str">
        <x:v>Seguiment</x:v>
      </x:c>
      <x:c r="C13" s="47" t="str">
        <x:v>Classificar resposta i preparar la propera accio.</x:v>
      </x:c>
      <x:c r="D13" s="1"/>
      <x:c r="E13" s="45"/>
      <x:c r="F13" s="46"/>
      <x:c r="G13" s="47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</x:sheetData>
  <x:mergeCells>
    <x:mergeCell ref="A1:G1"/>
    <x:mergeCell ref="A2:G2"/>
    <x:mergeCell ref="A8:C8"/>
    <x:mergeCell ref="E8:G8"/>
    <x:mergeCell ref="E9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3.75" hidden="0" customWidth="1"/>
    <x:col min="3" max="3" width="16.8799991607666" hidden="0" customWidth="1"/>
    <x:col min="4" max="4" width="16.8799991607666" hidden="0" customWidth="1"/>
    <x:col min="5" max="5" width="14.380000114440918" hidden="0" customWidth="1"/>
    <x:col min="6" max="6" width="13.130000114440918" hidden="0" customWidth="1"/>
    <x:col min="7" max="7" width="22.5" hidden="0" customWidth="1"/>
    <x:col min="8" max="8" width="22.5" hidden="0" customWidth="1"/>
    <x:col min="9" max="9" width="15" hidden="0" customWidth="1"/>
    <x:col min="10" max="10" width="18.75" hidden="0" customWidth="1"/>
    <x:col min="11" max="11" width="16.25" hidden="0" customWidth="1"/>
    <x:col min="12" max="12" width="18.1299991607666" hidden="0" customWidth="1"/>
    <x:col min="13" max="13" width="11.880000114440918" hidden="0" customWidth="1"/>
    <x:col min="14" max="14" width="21.25" hidden="0" customWidth="1"/>
    <x:col min="15" max="15" width="27.5" hidden="0" customWidth="1"/>
    <x:col min="16" max="16" width="30" hidden="0" customWidth="1"/>
    <x:col min="17" max="17" width="32.5" hidden="0" customWidth="1"/>
    <x:col min="18" max="18" width="21.25" hidden="0" customWidth="1"/>
    <x:col min="19" max="19" width="15" hidden="0" customWidth="1"/>
    <x:col min="20" max="20" width="32.5" hidden="0" customWidth="1"/>
    <x:col min="21" max="21" width="52.5" hidden="0" customWidth="1"/>
    <x:col min="22" max="22" width="45" hidden="0" customWidth="1"/>
    <x:col min="23" max="23" width="13.130000114440918" hidden="0" customWidth="1"/>
    <x:col min="24" max="24" width="13.130000114440918" hidden="0" customWidth="1"/>
    <x:col min="25" max="25" width="13.130000114440918" hidden="0" customWidth="1"/>
    <x:col min="26" max="26" width="31.25" hidden="0" customWidth="1"/>
    <x:col min="27" max="27" width="35" hidden="0" customWidth="1"/>
  </x:cols>
  <x:sheetData>
    <x:row r="1">
      <x:c r="A1" s="62" t="str">
        <x:v>Lead ID</x:v>
      </x:c>
      <x:c r="B1" s="63" t="str">
        <x:v>Empresa</x:v>
      </x:c>
      <x:c r="C1" s="63" t="str">
        <x:v>Sector</x:v>
      </x:c>
      <x:c r="D1" s="63" t="str">
        <x:v>Subsector</x:v>
      </x:c>
      <x:c r="E1" s="63" t="str">
        <x:v>Ciutat</x:v>
      </x:c>
      <x:c r="F1" s="63" t="str">
        <x:v>Provincia</x:v>
      </x:c>
      <x:c r="G1" s="63" t="str">
        <x:v>Web</x:v>
      </x:c>
      <x:c r="H1" s="63" t="str">
        <x:v>Email public</x:v>
      </x:c>
      <x:c r="I1" s="63" t="str">
        <x:v>Telefon</x:v>
      </x:c>
      <x:c r="J1" s="63" t="str">
        <x:v>Persona contacte</x:v>
      </x:c>
      <x:c r="K1" s="63" t="str">
        <x:v>Font</x:v>
      </x:c>
      <x:c r="L1" s="63" t="str">
        <x:v>Estat</x:v>
      </x:c>
      <x:c r="M1" s="63" t="str">
        <x:v>Prioritat</x:v>
      </x:c>
      <x:c r="N1" s="63" t="str">
        <x:v>Sistema recomanat</x:v>
      </x:c>
      <x:c r="O1" s="63" t="str">
        <x:v>Benefici principal</x:v>
      </x:c>
      <x:c r="P1" s="63" t="str">
        <x:v>Friccio detectada</x:v>
      </x:c>
      <x:c r="Q1" s="63" t="str">
        <x:v>Descripcio publica</x:v>
      </x:c>
      <x:c r="R1" s="63" t="str">
        <x:v>Impacte estimat</x:v>
      </x:c>
      <x:c r="S1" s="63" t="str">
        <x:v>Validat per enviar</x:v>
      </x:c>
      <x:c r="T1" s="63" t="str">
        <x:v>Assumpte email</x:v>
      </x:c>
      <x:c r="U1" s="63" t="str">
        <x:v>Email proposat</x:v>
      </x:c>
      <x:c r="V1" s="63" t="str">
        <x:v>Seguiment proposat</x:v>
      </x:c>
      <x:c r="W1" s="63" t="str">
        <x:v>Data afegit</x:v>
      </x:c>
      <x:c r="X1" s="63" t="str">
        <x:v>Data contacte</x:v>
      </x:c>
      <x:c r="Y1" s="63" t="str">
        <x:v>Data seguiment</x:v>
      </x:c>
      <x:c r="Z1" s="63" t="str">
        <x:v>Ultima resposta</x:v>
      </x:c>
      <x:c r="AA1" s="64" t="str">
        <x:v>Notes</x:v>
      </x:c>
    </x:row>
    <x:row r="2">
      <x:c r="A2" s="83" t="str">
        <x:v>LLE-0001</x:v>
      </x:c>
      <x:c r="B2" s="84" t="str">
        <x:v>Exemple Dental Lleida</x:v>
      </x:c>
      <x:c r="C2" s="84" t="str">
        <x:v>Salut</x:v>
      </x:c>
      <x:c r="D2" s="84" t="str">
        <x:v>Clinica dental</x:v>
      </x:c>
      <x:c r="E2" s="84" t="str">
        <x:v>Lleida</x:v>
      </x:c>
      <x:c r="F2" s="84" t="str">
        <x:v>Lleida</x:v>
      </x:c>
      <x:c r="G2" s="84" t="str">
        <x:v>https://exemple.com</x:v>
      </x:c>
      <x:c r="H2" s="84" t="str">
        <x:v>info@exemple.com</x:v>
      </x:c>
      <x:c r="I2" s="84" t="str"/>
      <x:c r="J2" s="84" t="str"/>
      <x:c r="K2" s="84" t="str">
        <x:v>Recerca manual</x:v>
      </x:c>
      <x:c r="L2" s="84" t="str">
        <x:v>Pendent validacio</x:v>
      </x:c>
      <x:c r="M2" s="84" t="str">
        <x:v>Mitjana</x:v>
      </x:c>
      <x:c r="N2" s="84" t="str">
        <x:v>Cites i agenda</x:v>
      </x:c>
      <x:c r="O2" s="84" t="str">
        <x:v>Menys temps perseguint reserves i recordatoris.</x:v>
      </x:c>
      <x:c r="P2" s="84" t="str">
        <x:v>Agenda manual, trucades recurrents i recordatoris que depenen de l equip.</x:v>
      </x:c>
      <x:c r="Q2" s="84" t="str">
        <x:v>Clinica local amb flux de cites recurrent.</x:v>
      </x:c>
      <x:c r="R2" s="84" t="str">
        <x:v>Hores recuperables i menys buits d agenda.</x:v>
      </x:c>
      <x:c r="S2" s="84" t="str">
        <x:v>No</x:v>
      </x:c>
      <x:c r="T2" s="84" t="str">
        <x:v>Idea per ordenar reserves i seguiments</x:v>
      </x:c>
      <x:c r="U2" s="84" t="str">
        <x:v>Hola,
Soc Miquel, de Noesis. He vist que treballeu amb un volum recurrent de cites i seguiment de pacients. Nosaltres ajudem empreses a ordenar processos repetitius amb sistemes digitals simples i mesurables.
Crec que en el vostre cas podria tenir sentit revisar si hi ha hores que es perden en reserves, recordatoris o canvis d agenda. No us escric per vendre una eina tancada, sino per detectar si hi ha una part del proces que es pot simplificar.
Si us encaixa, podem fer una primera diagnosi breu i dir-vos on hi podria haver millora real.</x:v>
      </x:c>
      <x:c r="V2" s="84" t="str">
        <x:v>Hola,
Et recupero aquest missatge per si te sentit parlar-ne mes endavant. La idea seria revisar-ho de forma molt concreta, sense compromisos ni llenguatge tecnic innecessari.</x:v>
      </x:c>
      <x:c r="W2" s="84" t="n">
        <x:v>46169.40336994213</x:v>
      </x:c>
      <x:c r="X2" s="84" t="str"/>
      <x:c r="Y2" s="84" t="str"/>
      <x:c r="Z2" s="84" t="str"/>
      <x:c r="AA2" s="85" t="str">
        <x:v>Fila d exemple. Duplicar o substituir.</x:v>
      </x:c>
    </x:row>
    <x:row r="3">
      <x:c r="A3" s="86"/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87"/>
      <x:c r="M3" s="87"/>
      <x:c r="N3" s="87"/>
      <x:c r="O3" s="87"/>
      <x:c r="P3" s="87"/>
      <x:c r="Q3" s="87"/>
      <x:c r="R3" s="87"/>
      <x:c r="S3" s="87"/>
      <x:c r="T3" s="87"/>
      <x:c r="U3" s="87"/>
      <x:c r="V3" s="87"/>
      <x:c r="W3" s="87"/>
      <x:c r="X3" s="87"/>
      <x:c r="Y3" s="87"/>
      <x:c r="Z3" s="87"/>
      <x:c r="AA3" s="88"/>
    </x:row>
    <x:row r="4">
      <x:c r="A4" s="86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  <x:c r="Q4" s="87"/>
      <x:c r="R4" s="87"/>
      <x:c r="S4" s="87"/>
      <x:c r="T4" s="87"/>
      <x:c r="U4" s="87"/>
      <x:c r="V4" s="87"/>
      <x:c r="W4" s="87"/>
      <x:c r="X4" s="87"/>
      <x:c r="Y4" s="87"/>
      <x:c r="Z4" s="87"/>
      <x:c r="AA4" s="88"/>
    </x:row>
    <x:row r="5">
      <x:c r="A5" s="86"/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8"/>
    </x:row>
    <x:row r="6">
      <x:c r="A6" s="86"/>
      <x:c r="B6" s="87"/>
      <x:c r="C6" s="87"/>
      <x:c r="D6" s="87"/>
      <x:c r="E6" s="87"/>
      <x:c r="F6" s="87"/>
      <x:c r="G6" s="87"/>
      <x:c r="H6" s="87"/>
      <x:c r="I6" s="87"/>
      <x:c r="J6" s="87"/>
      <x:c r="K6" s="87"/>
      <x:c r="L6" s="87"/>
      <x:c r="M6" s="87"/>
      <x:c r="N6" s="87"/>
      <x:c r="O6" s="87"/>
      <x:c r="P6" s="87"/>
      <x:c r="Q6" s="87"/>
      <x:c r="R6" s="87"/>
      <x:c r="S6" s="87"/>
      <x:c r="T6" s="87"/>
      <x:c r="U6" s="87"/>
      <x:c r="V6" s="87"/>
      <x:c r="W6" s="87"/>
      <x:c r="X6" s="87"/>
      <x:c r="Y6" s="87"/>
      <x:c r="Z6" s="87"/>
      <x:c r="AA6" s="88"/>
    </x:row>
    <x:row r="7">
      <x:c r="A7" s="86"/>
      <x:c r="B7" s="87"/>
      <x:c r="C7" s="87"/>
      <x:c r="D7" s="87"/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  <x:c r="Y7" s="87"/>
      <x:c r="Z7" s="87"/>
      <x:c r="AA7" s="88"/>
    </x:row>
    <x:row r="8">
      <x:c r="A8" s="86"/>
      <x:c r="B8" s="87"/>
      <x:c r="C8" s="87"/>
      <x:c r="D8" s="87"/>
      <x:c r="E8" s="87"/>
      <x:c r="F8" s="87"/>
      <x:c r="G8" s="87"/>
      <x:c r="H8" s="87"/>
      <x:c r="I8" s="87"/>
      <x:c r="J8" s="87"/>
      <x:c r="K8" s="87"/>
      <x:c r="L8" s="87"/>
      <x:c r="M8" s="87"/>
      <x:c r="N8" s="87"/>
      <x:c r="O8" s="87"/>
      <x:c r="P8" s="87"/>
      <x:c r="Q8" s="87"/>
      <x:c r="R8" s="87"/>
      <x:c r="S8" s="87"/>
      <x:c r="T8" s="87"/>
      <x:c r="U8" s="87"/>
      <x:c r="V8" s="87"/>
      <x:c r="W8" s="87"/>
      <x:c r="X8" s="87"/>
      <x:c r="Y8" s="87"/>
      <x:c r="Z8" s="87"/>
      <x:c r="AA8" s="88"/>
    </x:row>
    <x:row r="9">
      <x:c r="A9" s="86"/>
      <x:c r="B9" s="87"/>
      <x:c r="C9" s="87"/>
      <x:c r="D9" s="87"/>
      <x:c r="E9" s="87"/>
      <x:c r="F9" s="87"/>
      <x:c r="G9" s="87"/>
      <x:c r="H9" s="87"/>
      <x:c r="I9" s="87"/>
      <x:c r="J9" s="87"/>
      <x:c r="K9" s="87"/>
      <x:c r="L9" s="87"/>
      <x:c r="M9" s="87"/>
      <x:c r="N9" s="87"/>
      <x:c r="O9" s="87"/>
      <x:c r="P9" s="87"/>
      <x:c r="Q9" s="87"/>
      <x:c r="R9" s="87"/>
      <x:c r="S9" s="87"/>
      <x:c r="T9" s="87"/>
      <x:c r="U9" s="87"/>
      <x:c r="V9" s="87"/>
      <x:c r="W9" s="87"/>
      <x:c r="X9" s="87"/>
      <x:c r="Y9" s="87"/>
      <x:c r="Z9" s="87"/>
      <x:c r="AA9" s="88"/>
    </x:row>
    <x:row r="10">
      <x:c r="A10" s="86"/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7"/>
      <x:c r="Q10" s="87"/>
      <x:c r="R10" s="87"/>
      <x:c r="S10" s="87"/>
      <x:c r="T10" s="87"/>
      <x:c r="U10" s="87"/>
      <x:c r="V10" s="87"/>
      <x:c r="W10" s="87"/>
      <x:c r="X10" s="87"/>
      <x:c r="Y10" s="87"/>
      <x:c r="Z10" s="87"/>
      <x:c r="AA10" s="88"/>
    </x:row>
    <x:row r="11">
      <x:c r="A11" s="86"/>
      <x:c r="B11" s="87"/>
      <x:c r="C11" s="87"/>
      <x:c r="D11" s="87"/>
      <x:c r="E11" s="87"/>
      <x:c r="F11" s="87"/>
      <x:c r="G11" s="87"/>
      <x:c r="H11" s="87"/>
      <x:c r="I11" s="87"/>
      <x:c r="J11" s="87"/>
      <x:c r="K11" s="87"/>
      <x:c r="L11" s="87"/>
      <x:c r="M11" s="87"/>
      <x:c r="N11" s="87"/>
      <x:c r="O11" s="87"/>
      <x:c r="P11" s="87"/>
      <x:c r="Q11" s="87"/>
      <x:c r="R11" s="87"/>
      <x:c r="S11" s="87"/>
      <x:c r="T11" s="87"/>
      <x:c r="U11" s="87"/>
      <x:c r="V11" s="87"/>
      <x:c r="W11" s="87"/>
      <x:c r="X11" s="87"/>
      <x:c r="Y11" s="87"/>
      <x:c r="Z11" s="87"/>
      <x:c r="AA11" s="88"/>
    </x:row>
    <x:row r="12">
      <x:c r="A12" s="86"/>
      <x:c r="B12" s="87"/>
      <x:c r="C12" s="87"/>
      <x:c r="D12" s="87"/>
      <x:c r="E12" s="87"/>
      <x:c r="F12" s="87"/>
      <x:c r="G12" s="87"/>
      <x:c r="H12" s="87"/>
      <x:c r="I12" s="87"/>
      <x:c r="J12" s="87"/>
      <x:c r="K12" s="87"/>
      <x:c r="L12" s="87"/>
      <x:c r="M12" s="87"/>
      <x:c r="N12" s="87"/>
      <x:c r="O12" s="87"/>
      <x:c r="P12" s="87"/>
      <x:c r="Q12" s="87"/>
      <x:c r="R12" s="87"/>
      <x:c r="S12" s="87"/>
      <x:c r="T12" s="87"/>
      <x:c r="U12" s="87"/>
      <x:c r="V12" s="87"/>
      <x:c r="W12" s="87"/>
      <x:c r="X12" s="87"/>
      <x:c r="Y12" s="87"/>
      <x:c r="Z12" s="87"/>
      <x:c r="AA12" s="88"/>
    </x:row>
    <x:row r="13">
      <x:c r="A13" s="86"/>
      <x:c r="B13" s="87"/>
      <x:c r="C13" s="87"/>
      <x:c r="D13" s="87"/>
      <x:c r="E13" s="87"/>
      <x:c r="F13" s="87"/>
      <x:c r="G13" s="87"/>
      <x:c r="H13" s="87"/>
      <x:c r="I13" s="87"/>
      <x:c r="J13" s="87"/>
      <x:c r="K13" s="87"/>
      <x:c r="L13" s="87"/>
      <x:c r="M13" s="87"/>
      <x:c r="N13" s="87"/>
      <x:c r="O13" s="87"/>
      <x:c r="P13" s="87"/>
      <x:c r="Q13" s="87"/>
      <x:c r="R13" s="87"/>
      <x:c r="S13" s="87"/>
      <x:c r="T13" s="87"/>
      <x:c r="U13" s="87"/>
      <x:c r="V13" s="87"/>
      <x:c r="W13" s="87"/>
      <x:c r="X13" s="87"/>
      <x:c r="Y13" s="87"/>
      <x:c r="Z13" s="87"/>
      <x:c r="AA13" s="88"/>
    </x:row>
    <x:row r="14">
      <x:c r="A14" s="86"/>
      <x:c r="B14" s="87"/>
      <x:c r="C14" s="87"/>
      <x:c r="D14" s="87"/>
      <x:c r="E14" s="87"/>
      <x:c r="F14" s="87"/>
      <x:c r="G14" s="87"/>
      <x:c r="H14" s="87"/>
      <x:c r="I14" s="87"/>
      <x:c r="J14" s="87"/>
      <x:c r="K14" s="87"/>
      <x:c r="L14" s="87"/>
      <x:c r="M14" s="87"/>
      <x:c r="N14" s="87"/>
      <x:c r="O14" s="87"/>
      <x:c r="P14" s="87"/>
      <x:c r="Q14" s="87"/>
      <x:c r="R14" s="87"/>
      <x:c r="S14" s="87"/>
      <x:c r="T14" s="87"/>
      <x:c r="U14" s="87"/>
      <x:c r="V14" s="87"/>
      <x:c r="W14" s="87"/>
      <x:c r="X14" s="87"/>
      <x:c r="Y14" s="87"/>
      <x:c r="Z14" s="87"/>
      <x:c r="AA14" s="88"/>
    </x:row>
    <x:row r="15">
      <x:c r="A15" s="86"/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  <x:c r="O15" s="87"/>
      <x:c r="P15" s="87"/>
      <x:c r="Q15" s="87"/>
      <x:c r="R15" s="87"/>
      <x:c r="S15" s="87"/>
      <x:c r="T15" s="87"/>
      <x:c r="U15" s="87"/>
      <x:c r="V15" s="87"/>
      <x:c r="W15" s="87"/>
      <x:c r="X15" s="87"/>
      <x:c r="Y15" s="87"/>
      <x:c r="Z15" s="87"/>
      <x:c r="AA15" s="88"/>
    </x:row>
    <x:row r="16">
      <x:c r="A16" s="86"/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  <x:c r="L16" s="87"/>
      <x:c r="M16" s="87"/>
      <x:c r="N16" s="87"/>
      <x:c r="O16" s="87"/>
      <x:c r="P16" s="87"/>
      <x:c r="Q16" s="87"/>
      <x:c r="R16" s="87"/>
      <x:c r="S16" s="87"/>
      <x:c r="T16" s="87"/>
      <x:c r="U16" s="87"/>
      <x:c r="V16" s="87"/>
      <x:c r="W16" s="87"/>
      <x:c r="X16" s="87"/>
      <x:c r="Y16" s="87"/>
      <x:c r="Z16" s="87"/>
      <x:c r="AA16" s="88"/>
    </x:row>
    <x:row r="17">
      <x:c r="A17" s="86"/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  <x:c r="O17" s="87"/>
      <x:c r="P17" s="87"/>
      <x:c r="Q17" s="87"/>
      <x:c r="R17" s="87"/>
      <x:c r="S17" s="87"/>
      <x:c r="T17" s="87"/>
      <x:c r="U17" s="87"/>
      <x:c r="V17" s="87"/>
      <x:c r="W17" s="87"/>
      <x:c r="X17" s="87"/>
      <x:c r="Y17" s="87"/>
      <x:c r="Z17" s="87"/>
      <x:c r="AA17" s="88"/>
    </x:row>
    <x:row r="18">
      <x:c r="A18" s="86"/>
      <x:c r="B18" s="87"/>
      <x:c r="C18" s="87"/>
      <x:c r="D18" s="87"/>
      <x:c r="E18" s="87"/>
      <x:c r="F18" s="87"/>
      <x:c r="G18" s="87"/>
      <x:c r="H18" s="87"/>
      <x:c r="I18" s="87"/>
      <x:c r="J18" s="87"/>
      <x:c r="K18" s="87"/>
      <x:c r="L18" s="87"/>
      <x:c r="M18" s="87"/>
      <x:c r="N18" s="87"/>
      <x:c r="O18" s="87"/>
      <x:c r="P18" s="87"/>
      <x:c r="Q18" s="87"/>
      <x:c r="R18" s="87"/>
      <x:c r="S18" s="87"/>
      <x:c r="T18" s="87"/>
      <x:c r="U18" s="87"/>
      <x:c r="V18" s="87"/>
      <x:c r="W18" s="87"/>
      <x:c r="X18" s="87"/>
      <x:c r="Y18" s="87"/>
      <x:c r="Z18" s="87"/>
      <x:c r="AA18" s="88"/>
    </x:row>
    <x:row r="19">
      <x:c r="A19" s="86"/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  <x:c r="L19" s="87"/>
      <x:c r="M19" s="87"/>
      <x:c r="N19" s="87"/>
      <x:c r="O19" s="87"/>
      <x:c r="P19" s="87"/>
      <x:c r="Q19" s="87"/>
      <x:c r="R19" s="87"/>
      <x:c r="S19" s="87"/>
      <x:c r="T19" s="87"/>
      <x:c r="U19" s="87"/>
      <x:c r="V19" s="87"/>
      <x:c r="W19" s="87"/>
      <x:c r="X19" s="87"/>
      <x:c r="Y19" s="87"/>
      <x:c r="Z19" s="87"/>
      <x:c r="AA19" s="88"/>
    </x:row>
    <x:row r="20">
      <x:c r="A20" s="86"/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  <x:c r="L20" s="87"/>
      <x:c r="M20" s="87"/>
      <x:c r="N20" s="87"/>
      <x:c r="O20" s="87"/>
      <x:c r="P20" s="87"/>
      <x:c r="Q20" s="87"/>
      <x:c r="R20" s="87"/>
      <x:c r="S20" s="87"/>
      <x:c r="T20" s="87"/>
      <x:c r="U20" s="87"/>
      <x:c r="V20" s="87"/>
      <x:c r="W20" s="87"/>
      <x:c r="X20" s="87"/>
      <x:c r="Y20" s="87"/>
      <x:c r="Z20" s="87"/>
      <x:c r="AA20" s="88"/>
    </x:row>
    <x:row r="21">
      <x:c r="A21" s="86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  <x:c r="L21" s="87"/>
      <x:c r="M21" s="87"/>
      <x:c r="N21" s="87"/>
      <x:c r="O21" s="87"/>
      <x:c r="P21" s="87"/>
      <x:c r="Q21" s="87"/>
      <x:c r="R21" s="87"/>
      <x:c r="S21" s="87"/>
      <x:c r="T21" s="87"/>
      <x:c r="U21" s="87"/>
      <x:c r="V21" s="87"/>
      <x:c r="W21" s="87"/>
      <x:c r="X21" s="87"/>
      <x:c r="Y21" s="87"/>
      <x:c r="Z21" s="87"/>
      <x:c r="AA21" s="88"/>
    </x:row>
    <x:row r="22">
      <x:c r="A22" s="86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  <x:c r="L22" s="87"/>
      <x:c r="M22" s="87"/>
      <x:c r="N22" s="87"/>
      <x:c r="O22" s="87"/>
      <x:c r="P22" s="87"/>
      <x:c r="Q22" s="87"/>
      <x:c r="R22" s="87"/>
      <x:c r="S22" s="87"/>
      <x:c r="T22" s="87"/>
      <x:c r="U22" s="87"/>
      <x:c r="V22" s="87"/>
      <x:c r="W22" s="87"/>
      <x:c r="X22" s="87"/>
      <x:c r="Y22" s="87"/>
      <x:c r="Z22" s="87"/>
      <x:c r="AA22" s="88"/>
    </x:row>
    <x:row r="23">
      <x:c r="A23" s="86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  <x:c r="L23" s="87"/>
      <x:c r="M23" s="87"/>
      <x:c r="N23" s="87"/>
      <x:c r="O23" s="87"/>
      <x:c r="P23" s="87"/>
      <x:c r="Q23" s="87"/>
      <x:c r="R23" s="87"/>
      <x:c r="S23" s="87"/>
      <x:c r="T23" s="87"/>
      <x:c r="U23" s="87"/>
      <x:c r="V23" s="87"/>
      <x:c r="W23" s="87"/>
      <x:c r="X23" s="87"/>
      <x:c r="Y23" s="87"/>
      <x:c r="Z23" s="87"/>
      <x:c r="AA23" s="88"/>
    </x:row>
    <x:row r="24">
      <x:c r="A24" s="86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  <x:c r="L24" s="87"/>
      <x:c r="M24" s="87"/>
      <x:c r="N24" s="87"/>
      <x:c r="O24" s="87"/>
      <x:c r="P24" s="87"/>
      <x:c r="Q24" s="87"/>
      <x:c r="R24" s="87"/>
      <x:c r="S24" s="87"/>
      <x:c r="T24" s="87"/>
      <x:c r="U24" s="87"/>
      <x:c r="V24" s="87"/>
      <x:c r="W24" s="87"/>
      <x:c r="X24" s="87"/>
      <x:c r="Y24" s="87"/>
      <x:c r="Z24" s="87"/>
      <x:c r="AA24" s="88"/>
    </x:row>
    <x:row r="25">
      <x:c r="A25" s="86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  <x:c r="L25" s="87"/>
      <x:c r="M25" s="87"/>
      <x:c r="N25" s="87"/>
      <x:c r="O25" s="87"/>
      <x:c r="P25" s="87"/>
      <x:c r="Q25" s="87"/>
      <x:c r="R25" s="87"/>
      <x:c r="S25" s="87"/>
      <x:c r="T25" s="87"/>
      <x:c r="U25" s="87"/>
      <x:c r="V25" s="87"/>
      <x:c r="W25" s="87"/>
      <x:c r="X25" s="87"/>
      <x:c r="Y25" s="87"/>
      <x:c r="Z25" s="87"/>
      <x:c r="AA25" s="88"/>
    </x:row>
    <x:row r="26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/>
      <x:c r="U26" s="90"/>
      <x:c r="V26" s="90"/>
      <x:c r="W26" s="90"/>
      <x:c r="X26" s="90"/>
      <x:c r="Y26" s="90"/>
      <x:c r="Z26" s="90"/>
      <x:c r="AA26" s="91"/>
    </x:row>
  </x:sheetData>
  <x:conditionalFormatting sqref="L2:L500">
    <x:cfRule type="containsText" dxfId="0" priority="1" operator="containsText" text="Interessat"/>
    <x:cfRule type="containsText" dxfId="1" priority="2" operator="containsText" text="Reunio agendada"/>
    <x:cfRule type="containsText" dxfId="2" priority="3" operator="containsText" text="Seguiment futur"/>
    <x:cfRule type="containsText" dxfId="3" priority="4" operator="containsText" text="No interessat"/>
  </x:conditionalFormatting>
  <x:conditionalFormatting sqref="S2:S500">
    <x:cfRule type="containsText" dxfId="4" priority="5" operator="containsText" text="Si"/>
    <x:cfRule type="containsText" dxfId="5" priority="6" operator="containsText" text="No"/>
  </x:conditionalFormatting>
  <x:dataValidations count="4">
    <x:dataValidation type="list" allowBlank="1" showDropDown="0" sqref="L2:L500">
      <x:formula1>"Nou,Recerca pendent,Enriquit,Pendent validacio,Validat,Esborrany creat,Contactat,Sense resposta,Interessat,Reunio agendada,Seguiment futur,No interessat,Descartat,Client"</x:formula1>
    </x:dataValidation>
    <x:dataValidation type="list" allowBlank="1" showDropDown="0" sqref="M2:M500">
      <x:formula1>"Alta,Mitjana,Baixa"</x:formula1>
    </x:dataValidation>
    <x:dataValidation type="list" allowBlank="1" showDropDown="0" sqref="N2:N500">
      <x:formula1>"Documents i factures,Cites i agenda,Fluxos interns,Diagnosi operativa,No encaixa encara"</x:formula1>
    </x:dataValidation>
    <x:dataValidation type="list" allowBlank="1" showDropDown="0" sqref="S2:S500">
      <x:formula1>"Si,No"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75" hidden="0" customWidth="1"/>
    <x:col min="3" max="3" width="23.75" hidden="0" customWidth="1"/>
    <x:col min="5" max="5" width="23.75" hidden="0" customWidth="1"/>
    <x:col min="7" max="7" width="23.75" hidden="0" customWidth="1"/>
  </x:cols>
  <x:sheetData>
    <x:row r="1">
      <x:c r="A1" s="92" t="str">
        <x:v>Estats</x:v>
      </x:c>
      <x:c r="C1" s="92" t="str">
        <x:v>Prioritats</x:v>
      </x:c>
      <x:c r="E1" s="92" t="str">
        <x:v>Sistemes</x:v>
      </x:c>
      <x:c r="G1" s="92" t="str">
        <x:v>Validacio</x:v>
      </x:c>
    </x:row>
    <x:row r="2">
      <x:c r="A2" s="94" t="str">
        <x:v>Nou</x:v>
      </x:c>
      <x:c r="C2" s="94" t="str">
        <x:v>Alta</x:v>
      </x:c>
      <x:c r="E2" s="94" t="str">
        <x:v>Documents i factures</x:v>
      </x:c>
      <x:c r="G2" s="94" t="str">
        <x:v>Si</x:v>
      </x:c>
    </x:row>
    <x:row r="3">
      <x:c r="A3" s="95" t="str">
        <x:v>Recerca pendent</x:v>
      </x:c>
      <x:c r="C3" s="95" t="str">
        <x:v>Mitjana</x:v>
      </x:c>
      <x:c r="E3" s="95" t="str">
        <x:v>Cites i agenda</x:v>
      </x:c>
      <x:c r="G3" s="96" t="str">
        <x:v>No</x:v>
      </x:c>
    </x:row>
    <x:row r="4">
      <x:c r="A4" s="95" t="str">
        <x:v>Enriquit</x:v>
      </x:c>
      <x:c r="C4" s="96" t="str">
        <x:v>Baixa</x:v>
      </x:c>
      <x:c r="E4" s="95" t="str">
        <x:v>Fluxos interns</x:v>
      </x:c>
    </x:row>
    <x:row r="5">
      <x:c r="A5" s="95" t="str">
        <x:v>Pendent validacio</x:v>
      </x:c>
      <x:c r="E5" s="95" t="str">
        <x:v>Diagnosi operativa</x:v>
      </x:c>
    </x:row>
    <x:row r="6">
      <x:c r="A6" s="95" t="str">
        <x:v>Validat</x:v>
      </x:c>
      <x:c r="E6" s="96" t="str">
        <x:v>No encaixa encara</x:v>
      </x:c>
    </x:row>
    <x:row r="7">
      <x:c r="A7" s="95" t="str">
        <x:v>Esborrany creat</x:v>
      </x:c>
    </x:row>
    <x:row r="8">
      <x:c r="A8" s="95" t="str">
        <x:v>Contactat</x:v>
      </x:c>
    </x:row>
    <x:row r="9">
      <x:c r="A9" s="95" t="str">
        <x:v>Sense resposta</x:v>
      </x:c>
    </x:row>
    <x:row r="10">
      <x:c r="A10" s="95" t="str">
        <x:v>Interessat</x:v>
      </x:c>
    </x:row>
    <x:row r="11">
      <x:c r="A11" s="95" t="str">
        <x:v>Reunio agendada</x:v>
      </x:c>
    </x:row>
    <x:row r="12">
      <x:c r="A12" s="95" t="str">
        <x:v>Seguiment futur</x:v>
      </x:c>
    </x:row>
    <x:row r="13">
      <x:c r="A13" s="95" t="str">
        <x:v>No interessat</x:v>
      </x:c>
    </x:row>
    <x:row r="14">
      <x:c r="A14" s="95" t="str">
        <x:v>Descartat</x:v>
      </x:c>
    </x:row>
    <x:row r="15">
      <x:c r="A15" s="96" t="str">
        <x:v>Client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37.5" hidden="0" customWidth="1"/>
    <x:col min="3" max="3" width="26.25" hidden="0" customWidth="1"/>
    <x:col min="4" max="4" width="47.5" hidden="0" customWidth="1"/>
  </x:cols>
  <x:sheetData>
    <x:row r="1">
      <x:c r="A1" s="97" t="str">
        <x:v>Guia operativa Noesis</x:v>
      </x:c>
    </x:row>
    <x:row r="3">
      <x:c r="A3" s="98" t="str">
        <x:v>Pas</x:v>
      </x:c>
      <x:c r="B3" s="98" t="str">
        <x:v>Objectiu</x:v>
      </x:c>
      <x:c r="C3" s="98" t="str">
        <x:v>Responsable</x:v>
      </x:c>
      <x:c r="D3" s="98" t="str">
        <x:v>Criteri de qualitat</x:v>
      </x:c>
    </x:row>
    <x:row r="4">
      <x:c r="A4" s="116" t="str">
        <x:v>1. Recerca</x:v>
      </x:c>
      <x:c r="B4" s="117" t="str">
        <x:v>Trobar empreses amb dades publiques suficients.</x:v>
      </x:c>
      <x:c r="C4" s="117" t="str">
        <x:v>Research Agent / Winston</x:v>
      </x:c>
      <x:c r="D4" s="118" t="str">
        <x:v>No inventar dades. Si no hi ha email public, deixar buit.</x:v>
      </x:c>
    </x:row>
    <x:row r="5">
      <x:c r="A5" s="119" t="str">
        <x:v>2. Enriquiment</x:v>
      </x:c>
      <x:c r="B5" s="120" t="str">
        <x:v>Entendre sector, friccio i sistema recomanat.</x:v>
      </x:c>
      <x:c r="C5" s="120" t="str">
        <x:v>Research Agent / Winston</x:v>
      </x:c>
      <x:c r="D5" s="121" t="str">
        <x:v>Explicar per que encaixa, no nomes classificar.</x:v>
      </x:c>
    </x:row>
    <x:row r="6">
      <x:c r="A6" s="119" t="str">
        <x:v>3. Personalitzacio</x:v>
      </x:c>
      <x:c r="B6" s="120" t="str">
        <x:v>Preparar email amb context real.</x:v>
      </x:c>
      <x:c r="C6" s="120" t="str">
        <x:v>Personalization Agent / Winston</x:v>
      </x:c>
      <x:c r="D6" s="121" t="str">
        <x:v>Missatge huma, curt i sense promeses buides.</x:v>
      </x:c>
    </x:row>
    <x:row r="7">
      <x:c r="A7" s="119" t="str">
        <x:v>4. Validacio</x:v>
      </x:c>
      <x:c r="B7" s="120" t="str">
        <x:v>Decidir si s envia.</x:v>
      </x:c>
      <x:c r="C7" s="120" t="str">
        <x:v>Miquel / soci</x:v>
      </x:c>
      <x:c r="D7" s="121" t="str">
        <x:v>Si no hi ha valor clar, no es contacta.</x:v>
      </x:c>
    </x:row>
    <x:row r="8">
      <x:c r="A8" s="119" t="str">
        <x:v>5. Esborrany</x:v>
      </x:c>
      <x:c r="B8" s="120" t="str">
        <x:v>Crear email a Gmail.</x:v>
      </x:c>
      <x:c r="C8" s="120" t="str">
        <x:v>Apps Script</x:v>
      </x:c>
      <x:c r="D8" s="121" t="str">
        <x:v>Esborrany, no enviament automatic al principi.</x:v>
      </x:c>
    </x:row>
    <x:row r="9">
      <x:c r="A9" s="122" t="str">
        <x:v>6. Seguiment</x:v>
      </x:c>
      <x:c r="B9" s="123" t="str">
        <x:v>Classificar resposta i propera accio.</x:v>
      </x:c>
      <x:c r="C9" s="123" t="str">
        <x:v>Miquel / soci</x:v>
      </x:c>
      <x:c r="D9" s="124" t="str">
        <x:v>Interessat, reunio, seguiment futur o descartat.</x:v>
      </x:c>
    </x:row>
  </x:sheetData>
  <x:mergeCells>
    <x:mergeCell ref="A1:D1"/>
  </x:mergeCells>
  <x:pageMargins left="0.7" right="0.7" top="0.75" bottom="0.75" header="0.3" footer="0.3"/>
</x:worksheet>
</file>